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<sst xmlns="http://schemas.openxmlformats.org/spreadsheetml/2006/main" count="119" uniqueCount="112">
  <si>
    <t>ID</t>
  </si>
  <si>
    <t>Tarea</t>
  </si>
  <si>
    <t>Est. HH</t>
  </si>
  <si>
    <t>HH Efectivas</t>
  </si>
  <si>
    <t>Desviación</t>
  </si>
  <si>
    <t>T-01</t>
  </si>
  <si>
    <t>Desarrollar el Modelo de Entidad-Relación (MER) extendido de la base de datos</t>
  </si>
  <si>
    <t>T-02</t>
  </si>
  <si>
    <t>Desarrollar el Modelo Relacional normalizado de la base de datos</t>
  </si>
  <si>
    <t>T-03</t>
  </si>
  <si>
    <t>Desarrollar el Modelo Físico de la base de datos del sistema</t>
  </si>
  <si>
    <t>T-04</t>
  </si>
  <si>
    <t>Implementar y desarrollar la base de datos del sistema en el motor relacional</t>
  </si>
  <si>
    <t>T-05</t>
  </si>
  <si>
    <t>Diseñar el Diagrama de Componentes general del sistema</t>
  </si>
  <si>
    <t>T-06</t>
  </si>
  <si>
    <t>Diseñar el Diagrama de Componentes del subsistema Chatbot</t>
  </si>
  <si>
    <t>T-07</t>
  </si>
  <si>
    <t>Diseñar el Diagrama de Despliegue general del sistema</t>
  </si>
  <si>
    <t>T-08</t>
  </si>
  <si>
    <t>Diseñar el Diagrama de Despliegue del subsistema Chatbot</t>
  </si>
  <si>
    <t>T-09</t>
  </si>
  <si>
    <t>Redactar la introducción y tabla de resumen del Incremento 1</t>
  </si>
  <si>
    <t>T-10</t>
  </si>
  <si>
    <t>Elaborar la tabla de planificación del Sprint Planning</t>
  </si>
  <si>
    <t>T-11</t>
  </si>
  <si>
    <t>Implementar el flujo de autenticación y redirección al Portal Cliente</t>
  </si>
  <si>
    <t>T-12</t>
  </si>
  <si>
    <t>Implementar el cierre de sesión seguro e invalidación del token activo</t>
  </si>
  <si>
    <t>T-13</t>
  </si>
  <si>
    <t>Implementar el flujo de recuperación de contraseña por correo electrónico</t>
  </si>
  <si>
    <t>T-14</t>
  </si>
  <si>
    <t>Implementar el registro de nuevos usuarios con validación de datos</t>
  </si>
  <si>
    <t>T-15</t>
  </si>
  <si>
    <t>Implementar el bloqueo automático de IP por intentos fallidos de inicio de sesión</t>
  </si>
  <si>
    <t>T-16</t>
  </si>
  <si>
    <t>Implementar la visualización del historial de IPs bloqueadas en el sistema</t>
  </si>
  <si>
    <t>T-17</t>
  </si>
  <si>
    <t>Implementar la validación de complejidad y políticas de seguridad de contraseñas</t>
  </si>
  <si>
    <t>T-18</t>
  </si>
  <si>
    <t>Implementar el cierre de sesión automático por inactividad del usuario</t>
  </si>
  <si>
    <t>T-19</t>
  </si>
  <si>
    <t>Implementar el acceso y carga de la sección de perfil del usuario en el portal</t>
  </si>
  <si>
    <t>T-20</t>
  </si>
  <si>
    <t>Implementar la actualización del número de teléfono del perfil del usuario</t>
  </si>
  <si>
    <t>T-21</t>
  </si>
  <si>
    <t>Implementar la actualización del correo electrónico del perfil del usuario</t>
  </si>
  <si>
    <t>T-22</t>
  </si>
  <si>
    <t>Implementar el cambio seguro de contraseña desde el perfil del usuario</t>
  </si>
  <si>
    <t>T-23</t>
  </si>
  <si>
    <t>Implementar la visualización permanente del logotipo en la barra de navegación</t>
  </si>
  <si>
    <t>T-24</t>
  </si>
  <si>
    <t>Implementar la navegación al portal desde el botón de la barra de navegación</t>
  </si>
  <si>
    <t>T-25</t>
  </si>
  <si>
    <t>Implementar los enlaces de navegación interna del pie de página del sitio</t>
  </si>
  <si>
    <t>T-26</t>
  </si>
  <si>
    <t>Implementar los enlaces externos a redes sociales desde el pie de página</t>
  </si>
  <si>
    <t>T-27</t>
  </si>
  <si>
    <t>Implementar el control de alternancia de tema oscuro/claro con persistencia</t>
  </si>
  <si>
    <t>T-28</t>
  </si>
  <si>
    <t>Implementar el filtrado del catálogo de planes por segmento Personas/Empresas</t>
  </si>
  <si>
    <t>T-29</t>
  </si>
  <si>
    <t>Implementar los controles de navegación manual del carrusel de imágenes</t>
  </si>
  <si>
    <t>T-30</t>
  </si>
  <si>
    <t>Implementar la visualización detallada de los planes de servicio disponibles</t>
  </si>
  <si>
    <t>T-31</t>
  </si>
  <si>
    <t>Implementar el flujo de redirección al formulario de contratación de un plan</t>
  </si>
  <si>
    <t>T-32</t>
  </si>
  <si>
    <t>Implementar la sección de ofertas y servicios para el segmento corporativo</t>
  </si>
  <si>
    <t>T-33</t>
  </si>
  <si>
    <t>Implementar el menú móvil colapsable responsivo con navegación entre secciones</t>
  </si>
  <si>
    <t>T-34</t>
  </si>
  <si>
    <t>Implementar la vista responsiva de tarjetas de planes en dispositivos móviles</t>
  </si>
  <si>
    <t>T-35</t>
  </si>
  <si>
    <t>Implementar la visualización del estado operativo del contrato del cliente</t>
  </si>
  <si>
    <t>T-36</t>
  </si>
  <si>
    <t>Implementar el panel principal del Portal Cliente con sus módulos operacionales</t>
  </si>
  <si>
    <t>T-37</t>
  </si>
  <si>
    <t>Implementar la visualización del plan vigente contratado por el cliente</t>
  </si>
  <si>
    <t>T-38</t>
  </si>
  <si>
    <t>Implementar la visualización de múltiples planes vigentes en el portal</t>
  </si>
  <si>
    <t>T-39</t>
  </si>
  <si>
    <t>Implementar la visualización del estado de cuenta al día sin deuda pendiente</t>
  </si>
  <si>
    <t>T-40</t>
  </si>
  <si>
    <t>Implementar la visualización del saldo de deuda y fecha de vencimiento del ciclo</t>
  </si>
  <si>
    <t>T-41</t>
  </si>
  <si>
    <t>Implementar la vista de estado vacío cuando no hay tickets de soporte activos</t>
  </si>
  <si>
    <t>T-42</t>
  </si>
  <si>
    <t>Implementar la consulta y listado del historial de tickets de soporte del cliente</t>
  </si>
  <si>
    <t>T-43</t>
  </si>
  <si>
    <t>Implementar la consulta pública de deuda ingresando el RUT del abonado</t>
  </si>
  <si>
    <t>T-44</t>
  </si>
  <si>
    <t>Implementar la consulta pública de deuda mediante el código de abonado</t>
  </si>
  <si>
    <t>T-45</t>
  </si>
  <si>
    <t>Implementar la visualización del detalle de deuda y fecha límite del ciclo activo</t>
  </si>
  <si>
    <t>T-46</t>
  </si>
  <si>
    <t>Redactar documento</t>
  </si>
  <si>
    <t>T-47</t>
  </si>
  <si>
    <t>T-48</t>
  </si>
  <si>
    <t>T-49</t>
  </si>
  <si>
    <t>T-50</t>
  </si>
  <si>
    <t>T-51</t>
  </si>
  <si>
    <t>T-52</t>
  </si>
  <si>
    <t>Diseñar el árbol de navegación jerárquico del sistema</t>
  </si>
  <si>
    <t>T-53</t>
  </si>
  <si>
    <t>T-54</t>
  </si>
  <si>
    <t>T-55</t>
  </si>
  <si>
    <t>Elaborar la tabla comparativa de HH estimadas versus reales del sprint</t>
  </si>
  <si>
    <t>T-56</t>
  </si>
  <si>
    <t>Generar el gráfico Burn-Down del sprint</t>
  </si>
  <si>
    <t>T-57</t>
  </si>
  <si>
    <t>Generar el gráfico Burn-Up del sprint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</si>
</sst>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9.0"/>
      <color theme="1"/>
      <name val="Arial"/>
    </font>
    <font>
      <sz val="9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DD7EE"/>
        <bgColor rgb="FFBDD7EE"/>
      </patternFill>
    </fill>
    <fill>
      <patternFill patternType="solid">
        <fgColor rgb="FFFFFFCC"/>
        <bgColor rgb="FFFFFF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ont="1">
      <alignment shrinkToFit="0" wrapText="1"/>
    </xf>
    <xf borderId="1" fillId="3" fontId="2" numFmtId="0" xfId="0" applyAlignment="1" applyBorder="1" applyFont="1">
      <alignment horizontal="center"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2.63"/>
  </cols>
  <sheetData>
    <row r="3">
      <c r="C3" s="1" t="s">
        <v>0</v>
      </c>
      <c r="D3" s="2" t="s">
        <v>1</v>
      </c>
      <c r="E3" s="2" t="s">
        <v>2</v>
      </c>
      <c r="F3" s="2" t="s">
        <v>3</v>
      </c>
      <c r="G3" s="1" t="s">
        <v>4</v>
      </c>
    </row>
    <row r="4">
      <c r="C4" s="3" t="s">
        <v>5</v>
      </c>
      <c r="D4" s="4" t="s">
        <v>6</v>
      </c>
      <c r="E4" s="5">
        <v>8.0</v>
      </c>
      <c r="F4" s="5">
        <v>6.0</v>
      </c>
      <c r="G4" s="5">
        <f t="shared" ref="G4:G60" si="1">F4-E4</f>
        <v>-2</v>
      </c>
    </row>
    <row r="5">
      <c r="C5" s="3" t="s">
        <v>7</v>
      </c>
      <c r="D5" s="4" t="s">
        <v>8</v>
      </c>
      <c r="E5" s="5">
        <v>2.0</v>
      </c>
      <c r="F5" s="5">
        <v>2.0</v>
      </c>
      <c r="G5" s="5">
        <f t="shared" si="1"/>
        <v>0</v>
      </c>
    </row>
    <row r="6">
      <c r="C6" s="3" t="s">
        <v>9</v>
      </c>
      <c r="D6" s="4" t="s">
        <v>10</v>
      </c>
      <c r="E6" s="5">
        <v>3.0</v>
      </c>
      <c r="F6" s="5">
        <v>3.0</v>
      </c>
      <c r="G6" s="5">
        <f t="shared" si="1"/>
        <v>0</v>
      </c>
    </row>
    <row r="7">
      <c r="C7" s="3" t="s">
        <v>11</v>
      </c>
      <c r="D7" s="4" t="s">
        <v>12</v>
      </c>
      <c r="E7" s="5">
        <v>4.0</v>
      </c>
      <c r="F7" s="5">
        <v>4.0</v>
      </c>
      <c r="G7" s="5">
        <f t="shared" si="1"/>
        <v>0</v>
      </c>
    </row>
    <row r="8">
      <c r="C8" s="3" t="s">
        <v>13</v>
      </c>
      <c r="D8" s="4" t="s">
        <v>14</v>
      </c>
      <c r="E8" s="5">
        <v>4.0</v>
      </c>
      <c r="F8" s="5">
        <v>3.0</v>
      </c>
      <c r="G8" s="5">
        <f t="shared" si="1"/>
        <v>-1</v>
      </c>
    </row>
    <row r="9">
      <c r="C9" s="3" t="s">
        <v>15</v>
      </c>
      <c r="D9" s="4" t="s">
        <v>16</v>
      </c>
      <c r="E9" s="5">
        <v>4.0</v>
      </c>
      <c r="F9" s="5">
        <v>3.0</v>
      </c>
      <c r="G9" s="5">
        <f t="shared" si="1"/>
        <v>-1</v>
      </c>
    </row>
    <row r="10">
      <c r="C10" s="3" t="s">
        <v>17</v>
      </c>
      <c r="D10" s="4" t="s">
        <v>18</v>
      </c>
      <c r="E10" s="5">
        <v>4.0</v>
      </c>
      <c r="F10" s="5">
        <v>3.0</v>
      </c>
      <c r="G10" s="5">
        <f t="shared" si="1"/>
        <v>-1</v>
      </c>
    </row>
    <row r="11">
      <c r="C11" s="3" t="s">
        <v>19</v>
      </c>
      <c r="D11" s="4" t="s">
        <v>20</v>
      </c>
      <c r="E11" s="5">
        <v>4.0</v>
      </c>
      <c r="F11" s="5">
        <v>3.0</v>
      </c>
      <c r="G11" s="5">
        <f t="shared" si="1"/>
        <v>-1</v>
      </c>
    </row>
    <row r="12">
      <c r="C12" s="3" t="s">
        <v>21</v>
      </c>
      <c r="D12" s="4" t="s">
        <v>22</v>
      </c>
      <c r="E12" s="5">
        <v>4.0</v>
      </c>
      <c r="F12" s="5">
        <v>3.0</v>
      </c>
      <c r="G12" s="5">
        <f t="shared" si="1"/>
        <v>-1</v>
      </c>
    </row>
    <row r="13">
      <c r="C13" s="3" t="s">
        <v>23</v>
      </c>
      <c r="D13" s="4" t="s">
        <v>24</v>
      </c>
      <c r="E13" s="5">
        <v>2.0</v>
      </c>
      <c r="F13" s="5">
        <v>2.0</v>
      </c>
      <c r="G13" s="5">
        <f t="shared" si="1"/>
        <v>0</v>
      </c>
    </row>
    <row r="14">
      <c r="C14" s="3" t="s">
        <v>25</v>
      </c>
      <c r="D14" s="4" t="s">
        <v>26</v>
      </c>
      <c r="E14" s="5">
        <v>6.0</v>
      </c>
      <c r="F14" s="5">
        <v>3.0</v>
      </c>
      <c r="G14" s="5">
        <f t="shared" si="1"/>
        <v>-3</v>
      </c>
    </row>
    <row r="15">
      <c r="C15" s="3" t="s">
        <v>27</v>
      </c>
      <c r="D15" s="4" t="s">
        <v>28</v>
      </c>
      <c r="E15" s="5">
        <v>6.0</v>
      </c>
      <c r="F15" s="5">
        <v>3.0</v>
      </c>
      <c r="G15" s="5">
        <f t="shared" si="1"/>
        <v>-3</v>
      </c>
    </row>
    <row r="16">
      <c r="C16" s="3" t="s">
        <v>29</v>
      </c>
      <c r="D16" s="4" t="s">
        <v>30</v>
      </c>
      <c r="E16" s="5">
        <v>6.0</v>
      </c>
      <c r="F16" s="5">
        <v>4.0</v>
      </c>
      <c r="G16" s="5">
        <f t="shared" si="1"/>
        <v>-2</v>
      </c>
    </row>
    <row r="17">
      <c r="C17" s="3" t="s">
        <v>31</v>
      </c>
      <c r="D17" s="4" t="s">
        <v>32</v>
      </c>
      <c r="E17" s="5">
        <v>6.0</v>
      </c>
      <c r="F17" s="5">
        <v>4.0</v>
      </c>
      <c r="G17" s="5">
        <f t="shared" si="1"/>
        <v>-2</v>
      </c>
    </row>
    <row r="18">
      <c r="C18" s="3" t="s">
        <v>33</v>
      </c>
      <c r="D18" s="4" t="s">
        <v>34</v>
      </c>
      <c r="E18" s="5">
        <v>6.0</v>
      </c>
      <c r="F18" s="5">
        <v>4.0</v>
      </c>
      <c r="G18" s="5">
        <f t="shared" si="1"/>
        <v>-2</v>
      </c>
    </row>
    <row r="19">
      <c r="C19" s="3" t="s">
        <v>35</v>
      </c>
      <c r="D19" s="4" t="s">
        <v>36</v>
      </c>
      <c r="E19" s="5">
        <v>6.0</v>
      </c>
      <c r="F19" s="5">
        <v>4.0</v>
      </c>
      <c r="G19" s="5">
        <f t="shared" si="1"/>
        <v>-2</v>
      </c>
    </row>
    <row r="20">
      <c r="C20" s="3" t="s">
        <v>37</v>
      </c>
      <c r="D20" s="4" t="s">
        <v>38</v>
      </c>
      <c r="E20" s="5">
        <v>6.0</v>
      </c>
      <c r="F20" s="5">
        <v>4.0</v>
      </c>
      <c r="G20" s="5">
        <f t="shared" si="1"/>
        <v>-2</v>
      </c>
    </row>
    <row r="21">
      <c r="C21" s="3" t="s">
        <v>39</v>
      </c>
      <c r="D21" s="4" t="s">
        <v>40</v>
      </c>
      <c r="E21" s="5">
        <v>6.0</v>
      </c>
      <c r="F21" s="5">
        <v>4.0</v>
      </c>
      <c r="G21" s="5">
        <f t="shared" si="1"/>
        <v>-2</v>
      </c>
    </row>
    <row r="22">
      <c r="C22" s="3" t="s">
        <v>41</v>
      </c>
      <c r="D22" s="4" t="s">
        <v>42</v>
      </c>
      <c r="E22" s="5">
        <v>6.0</v>
      </c>
      <c r="F22" s="5">
        <v>3.0</v>
      </c>
      <c r="G22" s="5">
        <f t="shared" si="1"/>
        <v>-3</v>
      </c>
    </row>
    <row r="23">
      <c r="C23" s="3" t="s">
        <v>43</v>
      </c>
      <c r="D23" s="4" t="s">
        <v>44</v>
      </c>
      <c r="E23" s="5">
        <v>6.0</v>
      </c>
      <c r="F23" s="5">
        <v>3.0</v>
      </c>
      <c r="G23" s="5">
        <f t="shared" si="1"/>
        <v>-3</v>
      </c>
    </row>
    <row r="24">
      <c r="C24" s="3" t="s">
        <v>45</v>
      </c>
      <c r="D24" s="4" t="s">
        <v>46</v>
      </c>
      <c r="E24" s="5">
        <v>6.0</v>
      </c>
      <c r="F24" s="5">
        <v>4.0</v>
      </c>
      <c r="G24" s="5">
        <f t="shared" si="1"/>
        <v>-2</v>
      </c>
    </row>
    <row r="25">
      <c r="C25" s="3" t="s">
        <v>47</v>
      </c>
      <c r="D25" s="4" t="s">
        <v>48</v>
      </c>
      <c r="E25" s="5">
        <v>6.0</v>
      </c>
      <c r="F25" s="5">
        <v>3.0</v>
      </c>
      <c r="G25" s="5">
        <f t="shared" si="1"/>
        <v>-3</v>
      </c>
    </row>
    <row r="26">
      <c r="C26" s="3" t="s">
        <v>49</v>
      </c>
      <c r="D26" s="4" t="s">
        <v>50</v>
      </c>
      <c r="E26" s="5">
        <v>4.0</v>
      </c>
      <c r="F26" s="5">
        <v>2.0</v>
      </c>
      <c r="G26" s="5">
        <f t="shared" si="1"/>
        <v>-2</v>
      </c>
    </row>
    <row r="27">
      <c r="C27" s="3" t="s">
        <v>51</v>
      </c>
      <c r="D27" s="4" t="s">
        <v>52</v>
      </c>
      <c r="E27" s="5">
        <v>4.0</v>
      </c>
      <c r="F27" s="5">
        <v>3.0</v>
      </c>
      <c r="G27" s="5">
        <f t="shared" si="1"/>
        <v>-1</v>
      </c>
    </row>
    <row r="28">
      <c r="C28" s="3" t="s">
        <v>53</v>
      </c>
      <c r="D28" s="4" t="s">
        <v>54</v>
      </c>
      <c r="E28" s="5">
        <v>4.0</v>
      </c>
      <c r="F28" s="5">
        <v>2.0</v>
      </c>
      <c r="G28" s="5">
        <f t="shared" si="1"/>
        <v>-2</v>
      </c>
    </row>
    <row r="29">
      <c r="C29" s="3" t="s">
        <v>55</v>
      </c>
      <c r="D29" s="4" t="s">
        <v>56</v>
      </c>
      <c r="E29" s="5">
        <v>4.0</v>
      </c>
      <c r="F29" s="5">
        <v>2.0</v>
      </c>
      <c r="G29" s="5">
        <f t="shared" si="1"/>
        <v>-2</v>
      </c>
    </row>
    <row r="30">
      <c r="C30" s="3" t="s">
        <v>57</v>
      </c>
      <c r="D30" s="4" t="s">
        <v>58</v>
      </c>
      <c r="E30" s="5">
        <v>4.0</v>
      </c>
      <c r="F30" s="5">
        <v>3.0</v>
      </c>
      <c r="G30" s="5">
        <f t="shared" si="1"/>
        <v>-1</v>
      </c>
    </row>
    <row r="31">
      <c r="C31" s="3" t="s">
        <v>59</v>
      </c>
      <c r="D31" s="4" t="s">
        <v>60</v>
      </c>
      <c r="E31" s="5">
        <v>6.0</v>
      </c>
      <c r="F31" s="5">
        <v>4.0</v>
      </c>
      <c r="G31" s="5">
        <f t="shared" si="1"/>
        <v>-2</v>
      </c>
    </row>
    <row r="32">
      <c r="C32" s="3" t="s">
        <v>61</v>
      </c>
      <c r="D32" s="4" t="s">
        <v>62</v>
      </c>
      <c r="E32" s="5">
        <v>6.0</v>
      </c>
      <c r="F32" s="5">
        <v>4.0</v>
      </c>
      <c r="G32" s="5">
        <f t="shared" si="1"/>
        <v>-2</v>
      </c>
    </row>
    <row r="33">
      <c r="C33" s="3" t="s">
        <v>63</v>
      </c>
      <c r="D33" s="4" t="s">
        <v>64</v>
      </c>
      <c r="E33" s="5">
        <v>6.0</v>
      </c>
      <c r="F33" s="5">
        <v>3.0</v>
      </c>
      <c r="G33" s="5">
        <f t="shared" si="1"/>
        <v>-3</v>
      </c>
    </row>
    <row r="34">
      <c r="C34" s="3" t="s">
        <v>65</v>
      </c>
      <c r="D34" s="4" t="s">
        <v>66</v>
      </c>
      <c r="E34" s="5">
        <v>6.0</v>
      </c>
      <c r="F34" s="5">
        <v>4.0</v>
      </c>
      <c r="G34" s="5">
        <f t="shared" si="1"/>
        <v>-2</v>
      </c>
    </row>
    <row r="35">
      <c r="C35" s="3" t="s">
        <v>67</v>
      </c>
      <c r="D35" s="4" t="s">
        <v>68</v>
      </c>
      <c r="E35" s="5">
        <v>6.0</v>
      </c>
      <c r="F35" s="5">
        <v>3.0</v>
      </c>
      <c r="G35" s="5">
        <f t="shared" si="1"/>
        <v>-3</v>
      </c>
    </row>
    <row r="36">
      <c r="C36" s="3" t="s">
        <v>69</v>
      </c>
      <c r="D36" s="4" t="s">
        <v>70</v>
      </c>
      <c r="E36" s="5">
        <v>6.0</v>
      </c>
      <c r="F36" s="5">
        <v>4.0</v>
      </c>
      <c r="G36" s="5">
        <f t="shared" si="1"/>
        <v>-2</v>
      </c>
    </row>
    <row r="37">
      <c r="C37" s="3" t="s">
        <v>71</v>
      </c>
      <c r="D37" s="4" t="s">
        <v>72</v>
      </c>
      <c r="E37" s="5">
        <v>6.0</v>
      </c>
      <c r="F37" s="5">
        <v>4.0</v>
      </c>
      <c r="G37" s="5">
        <f t="shared" si="1"/>
        <v>-2</v>
      </c>
    </row>
    <row r="38">
      <c r="C38" s="3" t="s">
        <v>73</v>
      </c>
      <c r="D38" s="4" t="s">
        <v>74</v>
      </c>
      <c r="E38" s="5">
        <v>6.0</v>
      </c>
      <c r="F38" s="5">
        <v>3.0</v>
      </c>
      <c r="G38" s="5">
        <f t="shared" si="1"/>
        <v>-3</v>
      </c>
    </row>
    <row r="39">
      <c r="C39" s="3" t="s">
        <v>75</v>
      </c>
      <c r="D39" s="4" t="s">
        <v>76</v>
      </c>
      <c r="E39" s="5">
        <v>6.0</v>
      </c>
      <c r="F39" s="5">
        <v>3.0</v>
      </c>
      <c r="G39" s="5">
        <f t="shared" si="1"/>
        <v>-3</v>
      </c>
    </row>
    <row r="40">
      <c r="C40" s="3" t="s">
        <v>77</v>
      </c>
      <c r="D40" s="4" t="s">
        <v>78</v>
      </c>
      <c r="E40" s="5">
        <v>6.0</v>
      </c>
      <c r="F40" s="5">
        <v>3.0</v>
      </c>
      <c r="G40" s="5">
        <f t="shared" si="1"/>
        <v>-3</v>
      </c>
    </row>
    <row r="41">
      <c r="C41" s="3" t="s">
        <v>79</v>
      </c>
      <c r="D41" s="4" t="s">
        <v>80</v>
      </c>
      <c r="E41" s="5">
        <v>6.0</v>
      </c>
      <c r="F41" s="5">
        <v>4.0</v>
      </c>
      <c r="G41" s="5">
        <f t="shared" si="1"/>
        <v>-2</v>
      </c>
    </row>
    <row r="42">
      <c r="C42" s="3" t="s">
        <v>81</v>
      </c>
      <c r="D42" s="4" t="s">
        <v>82</v>
      </c>
      <c r="E42" s="5">
        <v>4.0</v>
      </c>
      <c r="F42" s="5">
        <v>2.0</v>
      </c>
      <c r="G42" s="5">
        <f t="shared" si="1"/>
        <v>-2</v>
      </c>
    </row>
    <row r="43">
      <c r="C43" s="3" t="s">
        <v>83</v>
      </c>
      <c r="D43" s="4" t="s">
        <v>84</v>
      </c>
      <c r="E43" s="5">
        <v>4.0</v>
      </c>
      <c r="F43" s="5">
        <v>2.0</v>
      </c>
      <c r="G43" s="5">
        <f t="shared" si="1"/>
        <v>-2</v>
      </c>
    </row>
    <row r="44">
      <c r="C44" s="3" t="s">
        <v>85</v>
      </c>
      <c r="D44" s="4" t="s">
        <v>86</v>
      </c>
      <c r="E44" s="5">
        <v>4.0</v>
      </c>
      <c r="F44" s="5">
        <v>2.0</v>
      </c>
      <c r="G44" s="5">
        <f t="shared" si="1"/>
        <v>-2</v>
      </c>
    </row>
    <row r="45">
      <c r="C45" s="3" t="s">
        <v>87</v>
      </c>
      <c r="D45" s="4" t="s">
        <v>88</v>
      </c>
      <c r="E45" s="5">
        <v>4.0</v>
      </c>
      <c r="F45" s="5">
        <v>2.0</v>
      </c>
      <c r="G45" s="5">
        <f t="shared" si="1"/>
        <v>-2</v>
      </c>
    </row>
    <row r="46">
      <c r="C46" s="3" t="s">
        <v>89</v>
      </c>
      <c r="D46" s="4" t="s">
        <v>90</v>
      </c>
      <c r="E46" s="5">
        <v>6.0</v>
      </c>
      <c r="F46" s="5">
        <v>3.0</v>
      </c>
      <c r="G46" s="5">
        <f t="shared" si="1"/>
        <v>-3</v>
      </c>
    </row>
    <row r="47">
      <c r="C47" s="3" t="s">
        <v>91</v>
      </c>
      <c r="D47" s="4" t="s">
        <v>92</v>
      </c>
      <c r="E47" s="5">
        <v>6.0</v>
      </c>
      <c r="F47" s="5">
        <v>4.0</v>
      </c>
      <c r="G47" s="5">
        <f t="shared" si="1"/>
        <v>-2</v>
      </c>
    </row>
    <row r="48">
      <c r="C48" s="3" t="s">
        <v>93</v>
      </c>
      <c r="D48" s="4" t="s">
        <v>94</v>
      </c>
      <c r="E48" s="5">
        <v>6.0</v>
      </c>
      <c r="F48" s="5">
        <v>3.0</v>
      </c>
      <c r="G48" s="5">
        <f t="shared" si="1"/>
        <v>-3</v>
      </c>
    </row>
    <row r="49">
      <c r="C49" s="3" t="s">
        <v>95</v>
      </c>
      <c r="D49" s="4" t="s">
        <v>96</v>
      </c>
      <c r="E49" s="5">
        <v>3.0</v>
      </c>
      <c r="F49" s="5">
        <v>2.0</v>
      </c>
      <c r="G49" s="5">
        <f t="shared" si="1"/>
        <v>-1</v>
      </c>
    </row>
    <row r="50">
      <c r="C50" s="3" t="s">
        <v>97</v>
      </c>
      <c r="D50" s="4" t="s">
        <v>96</v>
      </c>
      <c r="E50" s="5">
        <v>3.0</v>
      </c>
      <c r="F50" s="5">
        <v>2.0</v>
      </c>
      <c r="G50" s="5">
        <f t="shared" si="1"/>
        <v>-1</v>
      </c>
    </row>
    <row r="51">
      <c r="C51" s="3" t="s">
        <v>98</v>
      </c>
      <c r="D51" s="4" t="s">
        <v>96</v>
      </c>
      <c r="E51" s="5">
        <v>3.0</v>
      </c>
      <c r="F51" s="5">
        <v>2.0</v>
      </c>
      <c r="G51" s="5">
        <f t="shared" si="1"/>
        <v>-1</v>
      </c>
    </row>
    <row r="52">
      <c r="C52" s="3" t="s">
        <v>99</v>
      </c>
      <c r="D52" s="4" t="s">
        <v>96</v>
      </c>
      <c r="E52" s="5">
        <v>3.0</v>
      </c>
      <c r="F52" s="5">
        <v>2.0</v>
      </c>
      <c r="G52" s="5">
        <f t="shared" si="1"/>
        <v>-1</v>
      </c>
    </row>
    <row r="53">
      <c r="C53" s="3" t="s">
        <v>100</v>
      </c>
      <c r="D53" s="4" t="s">
        <v>96</v>
      </c>
      <c r="E53" s="5">
        <v>3.0</v>
      </c>
      <c r="F53" s="5">
        <v>2.0</v>
      </c>
      <c r="G53" s="5">
        <f t="shared" si="1"/>
        <v>-1</v>
      </c>
    </row>
    <row r="54">
      <c r="C54" s="3" t="s">
        <v>101</v>
      </c>
      <c r="D54" s="4" t="s">
        <v>96</v>
      </c>
      <c r="E54" s="5">
        <v>3.0</v>
      </c>
      <c r="F54" s="5">
        <v>2.0</v>
      </c>
      <c r="G54" s="5">
        <f t="shared" si="1"/>
        <v>-1</v>
      </c>
    </row>
    <row r="55">
      <c r="C55" s="3" t="s">
        <v>102</v>
      </c>
      <c r="D55" s="4" t="s">
        <v>103</v>
      </c>
      <c r="E55" s="5">
        <v>2.0</v>
      </c>
      <c r="F55" s="5">
        <v>2.0</v>
      </c>
      <c r="G55" s="5">
        <f t="shared" si="1"/>
        <v>0</v>
      </c>
    </row>
    <row r="56">
      <c r="C56" s="3" t="s">
        <v>104</v>
      </c>
      <c r="D56" s="4" t="s">
        <v>103</v>
      </c>
      <c r="E56" s="5">
        <v>2.0</v>
      </c>
      <c r="F56" s="5">
        <v>2.0</v>
      </c>
      <c r="G56" s="5">
        <f t="shared" si="1"/>
        <v>0</v>
      </c>
    </row>
    <row r="57">
      <c r="C57" s="3" t="s">
        <v>105</v>
      </c>
      <c r="D57" s="4" t="s">
        <v>103</v>
      </c>
      <c r="E57" s="5">
        <v>2.0</v>
      </c>
      <c r="F57" s="5">
        <v>2.0</v>
      </c>
      <c r="G57" s="5">
        <f t="shared" si="1"/>
        <v>0</v>
      </c>
    </row>
    <row r="58">
      <c r="C58" s="3" t="s">
        <v>106</v>
      </c>
      <c r="D58" s="4" t="s">
        <v>107</v>
      </c>
      <c r="E58" s="5">
        <v>3.0</v>
      </c>
      <c r="F58" s="5">
        <v>2.0</v>
      </c>
      <c r="G58" s="5">
        <f t="shared" si="1"/>
        <v>-1</v>
      </c>
    </row>
    <row r="59">
      <c r="C59" s="3" t="s">
        <v>108</v>
      </c>
      <c r="D59" s="4" t="s">
        <v>109</v>
      </c>
      <c r="E59" s="5">
        <v>2.0</v>
      </c>
      <c r="F59" s="5">
        <v>2.0</v>
      </c>
      <c r="G59" s="5">
        <f t="shared" si="1"/>
        <v>0</v>
      </c>
    </row>
    <row r="60">
      <c r="C60" s="3" t="s">
        <v>110</v>
      </c>
      <c r="D60" s="4" t="s">
        <v>111</v>
      </c>
      <c r="E60" s="5">
        <v>2.0</v>
      </c>
      <c r="F60" s="5">
        <v>2.0</v>
      </c>
      <c r="G60" s="5">
        <f t="shared" si="1"/>
        <v>0</v>
      </c>
      <c r="H60" s="6">
        <f>STDEV(E4:F60)</f>
        <v>1.511226939</v>
      </c>
    </row>
  </sheetData>
  <drawing r:id="rId1"/>
</worksheet>
</file>